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udit &amp; Fixes" sheetId="3" state="visible" r:id="rId3"/>
  </sheets>
  <definedNames>
    <definedName name="_xlnm._FilterDatabase" localSheetId="0" hidden="1">'BOM'!$A$4:$H$59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FF1E293B"/>
      <sz val="16"/>
    </font>
    <font>
      <name val="Segoe UI"/>
      <i val="1"/>
      <color rgb="FF64748B"/>
      <sz val="10"/>
    </font>
    <font>
      <name val="Segoe UI"/>
      <b val="1"/>
      <color rgb="FFFFFFFF"/>
      <sz val="11"/>
    </font>
    <font>
      <name val="Segoe UI"/>
      <color rgb="FF000000"/>
      <sz val="10"/>
    </font>
    <font>
      <name val="Segoe UI"/>
      <b val="1"/>
      <color rgb="FF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4" fillId="4" borderId="1" pivotButton="0" quotePrefix="0" xfId="0"/>
    <xf numFmtId="0" fontId="6" fillId="5" borderId="1" applyAlignment="1" pivotButton="0" quotePrefix="0" xfId="0">
      <alignment vertical="center" wrapText="1"/>
    </xf>
    <xf numFmtId="3" fontId="4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3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0" pivotButton="0" quotePrefix="0" xfId="0"/>
    <xf numFmtId="0" fontId="2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tabSelected="1" topLeftCell="A15" workbookViewId="0">
      <pane ySplit="4" topLeftCell="A5" activePane="bottomLeft" state="frozen"/>
      <selection pane="bottomLeft" activeCell="B16" sqref="B16"/>
    </sheetView>
  </sheetViews>
  <sheetFormatPr baseColWidth="8" defaultRowHeight="15"/>
  <cols>
    <col width="8" customWidth="1" min="1" max="1"/>
    <col width="36" customWidth="1" min="2" max="2"/>
    <col width="62" customWidth="1" min="3" max="3"/>
    <col width="22" customWidth="1" min="4" max="4"/>
    <col width="20" customWidth="1" min="5" max="5"/>
    <col width="10" customWidth="1" min="6" max="6"/>
    <col width="14" customWidth="1" min="7" max="7"/>
    <col width="76" customWidth="1" min="8" max="8"/>
  </cols>
  <sheetData>
    <row r="1" ht="23.25" customHeight="1">
      <c r="A1" s="1" t="inlineStr">
        <is>
          <t>ESP32-S3 Development Platform (ESP_S3-CP-24) - Corrected Production BOM</t>
        </is>
      </c>
    </row>
    <row r="2">
      <c r="A2" s="2" t="inlineStr">
        <is>
          <t>Generated for visual comparison; target board shown by user is marked R0.7. Source BOM rows are based on R0.8; do not treat revision-specific values as verified.</t>
        </is>
      </c>
    </row>
    <row r="4" ht="16.5" customHeight="1">
      <c r="A4" s="17" t="inlineStr">
        <is>
          <t>Item</t>
        </is>
      </c>
      <c r="B4" s="17" t="inlineStr">
        <is>
          <t>Comment / Value</t>
        </is>
      </c>
      <c r="C4" s="17" t="inlineStr">
        <is>
          <t>Designator</t>
        </is>
      </c>
      <c r="D4" s="17" t="inlineStr">
        <is>
          <t>Footprint</t>
        </is>
      </c>
      <c r="E4" s="17" t="inlineStr">
        <is>
          <t>LCSC Part #</t>
        </is>
      </c>
      <c r="F4" s="17" t="inlineStr">
        <is>
          <t>Qty</t>
        </is>
      </c>
      <c r="G4" s="17" t="inlineStr">
        <is>
          <t>Status</t>
        </is>
      </c>
      <c r="H4" s="17" t="inlineStr">
        <is>
          <t>Description / Notes</t>
        </is>
      </c>
    </row>
    <row r="5">
      <c r="A5" s="18" t="n">
        <v>1</v>
      </c>
      <c r="B5" s="19" t="inlineStr">
        <is>
          <t>0.1uF 50V</t>
        </is>
      </c>
      <c r="C5" s="19" t="inlineStr">
        <is>
          <t>C2, C3, C5, C8, C15, C18, C21, C25</t>
        </is>
      </c>
      <c r="D5" s="19" t="inlineStr">
        <is>
          <t>0805</t>
        </is>
      </c>
      <c r="E5" s="19" t="inlineStr">
        <is>
          <t>C161260</t>
        </is>
      </c>
      <c r="F5" s="18">
        <f>IF(TRIM(C5)="",0,LEN(C5)-LEN(SUBSTITUTE(C5,",",""))+1)</f>
        <v/>
      </c>
      <c r="G5" s="19" t="inlineStr">
        <is>
          <t>Fitted</t>
        </is>
      </c>
      <c r="H5" s="19" t="inlineStr">
        <is>
          <t>Standard decoupling capacitor</t>
        </is>
      </c>
    </row>
    <row r="6">
      <c r="A6" s="20" t="n">
        <v>2</v>
      </c>
      <c r="B6" s="21" t="inlineStr">
        <is>
          <t>0.1uF 50V</t>
        </is>
      </c>
      <c r="C6" s="21" t="inlineStr">
        <is>
          <t>C1</t>
        </is>
      </c>
      <c r="D6" s="21" t="inlineStr">
        <is>
          <t>0805</t>
        </is>
      </c>
      <c r="E6" s="21" t="inlineStr">
        <is>
          <t>C161260</t>
        </is>
      </c>
      <c r="F6" s="20">
        <f>IF(TRIM(C6)="",0,LEN(C6)-LEN(SUBSTITUTE(C6,",",""))+1)</f>
        <v/>
      </c>
      <c r="G6" s="21" t="inlineStr">
        <is>
          <t>Fitted</t>
        </is>
      </c>
      <c r="H6" s="21" t="inlineStr">
        <is>
          <t>Visual match: component appears populated at C1 in user's R0.7 board photo. Confirm on the actual board before assembly.</t>
        </is>
      </c>
    </row>
    <row r="7">
      <c r="A7" s="18" t="n">
        <v>3</v>
      </c>
      <c r="B7" s="19" t="inlineStr">
        <is>
          <t>47uF 22V X5R</t>
        </is>
      </c>
      <c r="C7" s="19" t="inlineStr">
        <is>
          <t>C4, C6</t>
        </is>
      </c>
      <c r="D7" s="19" t="inlineStr">
        <is>
          <t>0805</t>
        </is>
      </c>
      <c r="E7" s="19" t="inlineStr">
        <is>
          <t>C90142</t>
        </is>
      </c>
      <c r="F7" s="18">
        <f>IF(TRIM(C7)="",0,LEN(C7)-LEN(SUBSTITUTE(C7,",",""))+1)</f>
        <v/>
      </c>
      <c r="G7" s="19" t="inlineStr">
        <is>
          <t>Fitted</t>
        </is>
      </c>
      <c r="H7" s="19" t="inlineStr">
        <is>
          <t>Bulk input capacitance</t>
        </is>
      </c>
    </row>
    <row r="8">
      <c r="A8" s="20" t="n">
        <v>4</v>
      </c>
      <c r="B8" s="21" t="inlineStr">
        <is>
          <t>4.7uF 25V X7R</t>
        </is>
      </c>
      <c r="C8" s="21" t="inlineStr">
        <is>
          <t>C16, C17, C19</t>
        </is>
      </c>
      <c r="D8" s="21" t="inlineStr">
        <is>
          <t>0805</t>
        </is>
      </c>
      <c r="E8" s="21" t="inlineStr">
        <is>
          <t>C98192</t>
        </is>
      </c>
      <c r="F8" s="20">
        <f>IF(TRIM(C8)="",0,LEN(C8)-LEN(SUBSTITUTE(C8,",",""))+1)</f>
        <v/>
      </c>
      <c r="G8" s="21" t="inlineStr">
        <is>
          <t>Fitted</t>
        </is>
      </c>
      <c r="H8" s="21" t="inlineStr">
        <is>
          <t>Regulator &amp; LDO capacitance</t>
        </is>
      </c>
    </row>
    <row r="9">
      <c r="A9" s="18" t="n">
        <v>5</v>
      </c>
      <c r="B9" s="19" t="inlineStr">
        <is>
          <t>1uF 16V</t>
        </is>
      </c>
      <c r="C9" s="19" t="inlineStr">
        <is>
          <t>C7, C10, C14</t>
        </is>
      </c>
      <c r="D9" s="19" t="inlineStr">
        <is>
          <t>0805</t>
        </is>
      </c>
      <c r="E9" s="19" t="inlineStr">
        <is>
          <t>C16834</t>
        </is>
      </c>
      <c r="F9" s="18">
        <f>IF(TRIM(C9)="",0,LEN(C9)-LEN(SUBSTITUTE(C9,",",""))+1)</f>
        <v/>
      </c>
      <c r="G9" s="19" t="inlineStr">
        <is>
          <t>Fitted</t>
        </is>
      </c>
      <c r="H9" s="19" t="inlineStr">
        <is>
          <t>Bypass capacitance</t>
        </is>
      </c>
    </row>
    <row r="10">
      <c r="A10" s="20" t="n">
        <v>6</v>
      </c>
      <c r="B10" s="21" t="inlineStr">
        <is>
          <t>100uF 6.3V</t>
        </is>
      </c>
      <c r="C10" s="21" t="inlineStr">
        <is>
          <t>C13</t>
        </is>
      </c>
      <c r="D10" s="21" t="inlineStr">
        <is>
          <t>0805</t>
        </is>
      </c>
      <c r="E10" s="21" t="inlineStr">
        <is>
          <t>C141660</t>
        </is>
      </c>
      <c r="F10" s="20">
        <f>IF(TRIM(C10)="",0,LEN(C10)-LEN(SUBSTITUTE(C10,",",""))+1)</f>
        <v/>
      </c>
      <c r="G10" s="21" t="inlineStr">
        <is>
          <t>Fitted</t>
        </is>
      </c>
      <c r="H10" s="21" t="inlineStr">
        <is>
          <t>Bulk output capacitance</t>
        </is>
      </c>
    </row>
    <row r="11">
      <c r="A11" s="18" t="n">
        <v>7</v>
      </c>
      <c r="B11" s="19" t="inlineStr">
        <is>
          <t>22uF 10V X5R</t>
        </is>
      </c>
      <c r="C11" s="19" t="inlineStr">
        <is>
          <t>C24</t>
        </is>
      </c>
      <c r="D11" s="19" t="inlineStr">
        <is>
          <t>0805</t>
        </is>
      </c>
      <c r="E11" s="19" t="inlineStr">
        <is>
          <t>C45783</t>
        </is>
      </c>
      <c r="F11" s="18">
        <f>IF(TRIM(C11)="",0,LEN(C11)-LEN(SUBSTITUTE(C11,",",""))+1)</f>
        <v/>
      </c>
      <c r="G11" s="19" t="inlineStr">
        <is>
          <t>Fitted</t>
        </is>
      </c>
      <c r="H11" s="19" t="inlineStr">
        <is>
          <t>Corrected LCSC part (Murata/Samsung equivalent)</t>
        </is>
      </c>
    </row>
    <row r="12">
      <c r="A12" s="20" t="n">
        <v>8</v>
      </c>
      <c r="B12" s="21" t="inlineStr">
        <is>
          <t>22pF</t>
        </is>
      </c>
      <c r="C12" s="21" t="inlineStr">
        <is>
          <t>C9</t>
        </is>
      </c>
      <c r="D12" s="21" t="inlineStr">
        <is>
          <t>0805</t>
        </is>
      </c>
      <c r="E12" s="21" t="inlineStr">
        <is>
          <t>C105623</t>
        </is>
      </c>
      <c r="F12" s="20">
        <f>IF(TRIM(C12)="",0,LEN(C12)-LEN(SUBSTITUTE(C12,",",""))+1)</f>
        <v/>
      </c>
      <c r="G12" s="21" t="inlineStr">
        <is>
          <t>Fitted</t>
        </is>
      </c>
      <c r="H12" s="21" t="inlineStr">
        <is>
          <t>Crystal load capacitor</t>
        </is>
      </c>
    </row>
    <row r="13">
      <c r="A13" s="18" t="n">
        <v>9</v>
      </c>
      <c r="B13" s="19" t="inlineStr">
        <is>
          <t>47pF</t>
        </is>
      </c>
      <c r="C13" s="19" t="inlineStr">
        <is>
          <t>C12</t>
        </is>
      </c>
      <c r="D13" s="19" t="inlineStr">
        <is>
          <t>0805</t>
        </is>
      </c>
      <c r="E13" s="19" t="inlineStr">
        <is>
          <t>C113821</t>
        </is>
      </c>
      <c r="F13" s="18">
        <f>IF(TRIM(C13)="",0,LEN(C13)-LEN(SUBSTITUTE(C13,",",""))+1)</f>
        <v/>
      </c>
      <c r="G13" s="19" t="inlineStr">
        <is>
          <t>Fitted</t>
        </is>
      </c>
      <c r="H13" s="19" t="inlineStr">
        <is>
          <t>Filter capacitor</t>
        </is>
      </c>
    </row>
    <row r="14">
      <c r="A14" s="20" t="n">
        <v>10</v>
      </c>
      <c r="B14" s="21" t="inlineStr">
        <is>
          <t>1500pF</t>
        </is>
      </c>
      <c r="C14" s="21" t="inlineStr">
        <is>
          <t>C11</t>
        </is>
      </c>
      <c r="D14" s="21" t="inlineStr">
        <is>
          <t>0805</t>
        </is>
      </c>
      <c r="E14" s="21" t="inlineStr">
        <is>
          <t>C114765</t>
        </is>
      </c>
      <c r="F14" s="20">
        <f>IF(TRIM(C14)="",0,LEN(C14)-LEN(SUBSTITUTE(C14,",",""))+1)</f>
        <v/>
      </c>
      <c r="G14" s="21" t="inlineStr">
        <is>
          <t>Fitted</t>
        </is>
      </c>
      <c r="H14" s="21" t="inlineStr">
        <is>
          <t>Timing/filter capacitor (exclusive LCSC C114765 owner)</t>
        </is>
      </c>
    </row>
    <row r="15">
      <c r="A15" s="18" t="n">
        <v>11</v>
      </c>
      <c r="B15" s="19" t="inlineStr">
        <is>
          <t>12pF 50V</t>
        </is>
      </c>
      <c r="C15" s="19" t="inlineStr">
        <is>
          <t>C22, C23</t>
        </is>
      </c>
      <c r="D15" s="19" t="inlineStr">
        <is>
          <t>0805</t>
        </is>
      </c>
      <c r="E15" s="19" t="inlineStr">
        <is>
          <t>C182488</t>
        </is>
      </c>
      <c r="F15" s="18">
        <f>IF(TRIM(C15)="",0,LEN(C15)-LEN(SUBSTITUTE(C15,",",""))+1)</f>
        <v/>
      </c>
      <c r="G15" s="19" t="inlineStr">
        <is>
          <t>Fitted</t>
        </is>
      </c>
      <c r="H15" s="19" t="inlineStr">
        <is>
          <t>32kHz crystal load capacitors</t>
        </is>
      </c>
    </row>
    <row r="16">
      <c r="A16" s="20" t="n">
        <v>12</v>
      </c>
      <c r="B16" s="21" t="inlineStr">
        <is>
          <t>0R</t>
        </is>
      </c>
      <c r="C16" s="21" t="inlineStr">
        <is>
          <t>R2, R3, R6, R7, R8, R19, R37, R39, R40, R41, R42, R43, R91, R92, R99, R102, R103</t>
        </is>
      </c>
      <c r="D16" s="21" t="inlineStr">
        <is>
          <t>0805</t>
        </is>
      </c>
      <c r="E16" s="21" t="inlineStr">
        <is>
          <t>C100045</t>
        </is>
      </c>
      <c r="F16" s="20">
        <f>IF(TRIM(C16)="",0,LEN(C16)-LEN(SUBSTITUTE(C16,",",""))+1)</f>
        <v/>
      </c>
      <c r="G16" s="21" t="inlineStr">
        <is>
          <t>Fitted</t>
        </is>
      </c>
      <c r="H16" s="21" t="inlineStr">
        <is>
          <t>Jumper / net tie resistors</t>
        </is>
      </c>
    </row>
    <row r="17">
      <c r="A17" s="18" t="n">
        <v>13</v>
      </c>
      <c r="B17" s="19" t="inlineStr">
        <is>
          <t>0R</t>
        </is>
      </c>
      <c r="C17" s="19" t="inlineStr">
        <is>
          <t>R18</t>
        </is>
      </c>
      <c r="D17" s="19" t="inlineStr">
        <is>
          <t>0805</t>
        </is>
      </c>
      <c r="E17" s="19" t="inlineStr">
        <is>
          <t>C100045</t>
        </is>
      </c>
      <c r="F17" s="18">
        <f>IF(TRIM(C17)="",0,LEN(C17)-LEN(SUBSTITUTE(C17,",",""))+1)</f>
        <v/>
      </c>
      <c r="G17" s="19" t="inlineStr">
        <is>
          <t>DNP</t>
        </is>
      </c>
      <c r="H17" s="19" t="inlineStr">
        <is>
          <t>Optional zero-ohm jumper</t>
        </is>
      </c>
    </row>
    <row r="18">
      <c r="A18" s="20" t="n">
        <v>14</v>
      </c>
      <c r="B18" s="21" t="inlineStr">
        <is>
          <t>1k</t>
        </is>
      </c>
      <c r="C18" s="21" t="inlineStr">
        <is>
          <t>R9, R10, R38</t>
        </is>
      </c>
      <c r="D18" s="21" t="inlineStr">
        <is>
          <t>0805</t>
        </is>
      </c>
      <c r="E18" s="21" t="inlineStr">
        <is>
          <t>C95781</t>
        </is>
      </c>
      <c r="F18" s="20">
        <f>IF(TRIM(C18)="",0,LEN(C18)-LEN(SUBSTITUTE(C18,",",""))+1)</f>
        <v/>
      </c>
      <c r="G18" s="21" t="inlineStr">
        <is>
          <t>Fitted</t>
        </is>
      </c>
      <c r="H18" s="21" t="inlineStr">
        <is>
          <t>Pull-up / LED current limit</t>
        </is>
      </c>
    </row>
    <row r="19">
      <c r="A19" s="18" t="n">
        <v>15</v>
      </c>
      <c r="B19" s="19" t="inlineStr">
        <is>
          <t>1k8</t>
        </is>
      </c>
      <c r="C19" s="19" t="inlineStr">
        <is>
          <t>R1</t>
        </is>
      </c>
      <c r="D19" s="19" t="inlineStr">
        <is>
          <t>0805</t>
        </is>
      </c>
      <c r="E19" s="19" t="inlineStr">
        <is>
          <t>C137465</t>
        </is>
      </c>
      <c r="F19" s="18">
        <f>IF(TRIM(C19)="",0,LEN(C19)-LEN(SUBSTITUTE(C19,",",""))+1)</f>
        <v/>
      </c>
      <c r="G19" s="19" t="inlineStr">
        <is>
          <t>Fitted</t>
        </is>
      </c>
      <c r="H19" s="19" t="inlineStr">
        <is>
          <t>Programming LED resistor</t>
        </is>
      </c>
    </row>
    <row r="20">
      <c r="A20" s="20" t="n">
        <v>16</v>
      </c>
      <c r="B20" s="21" t="inlineStr">
        <is>
          <t>1k5</t>
        </is>
      </c>
      <c r="C20" s="21" t="inlineStr">
        <is>
          <t>R24</t>
        </is>
      </c>
      <c r="D20" s="21" t="inlineStr">
        <is>
          <t>0805</t>
        </is>
      </c>
      <c r="E20" s="21" t="inlineStr">
        <is>
          <t>C163951</t>
        </is>
      </c>
      <c r="F20" s="20">
        <f>IF(TRIM(C20)="",0,LEN(C20)-LEN(SUBSTITUTE(C20,",",""))+1)</f>
        <v/>
      </c>
      <c r="G20" s="21" t="inlineStr">
        <is>
          <t>Fitted</t>
        </is>
      </c>
      <c r="H20" s="21" t="inlineStr">
        <is>
          <t>Feedback/bias resistor</t>
        </is>
      </c>
    </row>
    <row r="21">
      <c r="A21" s="18" t="n">
        <v>17</v>
      </c>
      <c r="B21" s="19" t="inlineStr">
        <is>
          <t>2k2</t>
        </is>
      </c>
      <c r="C21" s="19" t="inlineStr">
        <is>
          <t>R31</t>
        </is>
      </c>
      <c r="D21" s="19" t="inlineStr">
        <is>
          <t>0805</t>
        </is>
      </c>
      <c r="E21" s="19" t="inlineStr">
        <is>
          <t>C441982</t>
        </is>
      </c>
      <c r="F21" s="18">
        <f>IF(TRIM(C21)="",0,LEN(C21)-LEN(SUBSTITUTE(C21,",",""))+1)</f>
        <v/>
      </c>
      <c r="G21" s="19" t="inlineStr">
        <is>
          <t>Fitted</t>
        </is>
      </c>
      <c r="H21" s="19" t="inlineStr">
        <is>
          <t>Pull-up resistor</t>
        </is>
      </c>
    </row>
    <row r="22">
      <c r="A22" s="20" t="n">
        <v>18</v>
      </c>
      <c r="B22" s="21" t="inlineStr">
        <is>
          <t>5k1</t>
        </is>
      </c>
      <c r="C22" s="21" t="inlineStr">
        <is>
          <t>R14, R26, R27, R28, R29, R88, R101, R86, R87</t>
        </is>
      </c>
      <c r="D22" s="21" t="inlineStr">
        <is>
          <t>0805</t>
        </is>
      </c>
      <c r="E22" s="21" t="inlineStr">
        <is>
          <t>C204548</t>
        </is>
      </c>
      <c r="F22" s="20">
        <f>IF(TRIM(C22)="",0,LEN(C22)-LEN(SUBSTITUTE(C22,",",""))+1)</f>
        <v/>
      </c>
      <c r="G22" s="21" t="inlineStr">
        <is>
          <t>Fitted</t>
        </is>
      </c>
      <c r="H22" s="21" t="inlineStr">
        <is>
          <t>CC pull-downs &amp; strapping resistors (R86/R87 verified)</t>
        </is>
      </c>
    </row>
    <row r="23">
      <c r="A23" s="18" t="n">
        <v>19</v>
      </c>
      <c r="B23" s="19" t="inlineStr">
        <is>
          <t>5k1</t>
        </is>
      </c>
      <c r="C23" s="19" t="inlineStr">
        <is>
          <t>R89, R100, R104, R105</t>
        </is>
      </c>
      <c r="D23" s="19" t="inlineStr">
        <is>
          <t>0805</t>
        </is>
      </c>
      <c r="E23" s="19" t="inlineStr">
        <is>
          <t>C204548</t>
        </is>
      </c>
      <c r="F23" s="18">
        <f>IF(TRIM(C23)="",0,LEN(C23)-LEN(SUBSTITUTE(C23,",",""))+1)</f>
        <v/>
      </c>
      <c r="G23" s="19" t="inlineStr">
        <is>
          <t>DNP</t>
        </is>
      </c>
      <c r="H23" s="19" t="inlineStr">
        <is>
          <t>Strapping option positions</t>
        </is>
      </c>
    </row>
    <row r="24">
      <c r="A24" s="20" t="n">
        <v>20</v>
      </c>
      <c r="B24" s="21" t="inlineStr">
        <is>
          <t>10k</t>
        </is>
      </c>
      <c r="C24" s="21" t="inlineStr">
        <is>
          <t>R34, R35, R48</t>
        </is>
      </c>
      <c r="D24" s="21" t="inlineStr">
        <is>
          <t>0805</t>
        </is>
      </c>
      <c r="E24" s="21" t="inlineStr">
        <is>
          <t>C169253</t>
        </is>
      </c>
      <c r="F24" s="20">
        <f>IF(TRIM(C24)="",0,LEN(C24)-LEN(SUBSTITUTE(C24,",",""))+1)</f>
        <v/>
      </c>
      <c r="G24" s="21" t="inlineStr">
        <is>
          <t>Fitted</t>
        </is>
      </c>
      <c r="H24" s="21" t="inlineStr">
        <is>
          <t>Pull-up resistors</t>
        </is>
      </c>
    </row>
    <row r="25">
      <c r="A25" s="18" t="n">
        <v>21</v>
      </c>
      <c r="B25" s="19" t="inlineStr">
        <is>
          <t>10k</t>
        </is>
      </c>
      <c r="C25" s="19" t="inlineStr">
        <is>
          <t>R36</t>
        </is>
      </c>
      <c r="D25" s="19" t="inlineStr">
        <is>
          <t>0805</t>
        </is>
      </c>
      <c r="E25" s="19" t="inlineStr">
        <is>
          <t>C169253</t>
        </is>
      </c>
      <c r="F25" s="18">
        <f>IF(TRIM(C25)="",0,LEN(C25)-LEN(SUBSTITUTE(C25,",",""))+1)</f>
        <v/>
      </c>
      <c r="G25" s="19" t="inlineStr">
        <is>
          <t>DNP</t>
        </is>
      </c>
      <c r="H25" s="19" t="inlineStr">
        <is>
          <t>Optional pull-up</t>
        </is>
      </c>
    </row>
    <row r="26">
      <c r="A26" s="20" t="n">
        <v>22</v>
      </c>
      <c r="B26" s="21" t="inlineStr">
        <is>
          <t>22R</t>
        </is>
      </c>
      <c r="C26" s="21" t="inlineStr">
        <is>
          <t>R44, R45, R46, R47</t>
        </is>
      </c>
      <c r="D26" s="21" t="inlineStr">
        <is>
          <t>0805</t>
        </is>
      </c>
      <c r="E26" s="21" t="inlineStr">
        <is>
          <t>C144531</t>
        </is>
      </c>
      <c r="F26" s="20">
        <f>IF(TRIM(C26)="",0,LEN(C26)-LEN(SUBSTITUTE(C26,",",""))+1)</f>
        <v/>
      </c>
      <c r="G26" s="21" t="inlineStr">
        <is>
          <t>Fitted</t>
        </is>
      </c>
      <c r="H26" s="21" t="inlineStr">
        <is>
          <t>USB D+/D- series termination</t>
        </is>
      </c>
    </row>
    <row r="27">
      <c r="A27" s="18" t="n">
        <v>23</v>
      </c>
      <c r="B27" s="19" t="inlineStr">
        <is>
          <t>22k</t>
        </is>
      </c>
      <c r="C27" s="19" t="inlineStr">
        <is>
          <t>R93</t>
        </is>
      </c>
      <c r="D27" s="19" t="inlineStr">
        <is>
          <t>0805</t>
        </is>
      </c>
      <c r="E27" s="19" t="inlineStr">
        <is>
          <t>C104113</t>
        </is>
      </c>
      <c r="F27" s="18">
        <f>IF(TRIM(C27)="",0,LEN(C27)-LEN(SUBSTITUTE(C27,",",""))+1)</f>
        <v/>
      </c>
      <c r="G27" s="19" t="inlineStr">
        <is>
          <t>Fitted</t>
        </is>
      </c>
      <c r="H27" s="19" t="inlineStr">
        <is>
          <t>Pull-down resistor</t>
        </is>
      </c>
    </row>
    <row r="28">
      <c r="A28" s="20" t="n">
        <v>24</v>
      </c>
      <c r="B28" s="21" t="inlineStr">
        <is>
          <t>43k</t>
        </is>
      </c>
      <c r="C28" s="21" t="inlineStr">
        <is>
          <t>R33</t>
        </is>
      </c>
      <c r="D28" s="21" t="inlineStr">
        <is>
          <t>0805</t>
        </is>
      </c>
      <c r="E28" s="21" t="inlineStr">
        <is>
          <t>C104355</t>
        </is>
      </c>
      <c r="F28" s="20">
        <f>IF(TRIM(C28)="",0,LEN(C28)-LEN(SUBSTITUTE(C28,",",""))+1)</f>
        <v/>
      </c>
      <c r="G28" s="21" t="inlineStr">
        <is>
          <t>Fitted</t>
        </is>
      </c>
      <c r="H28" s="21" t="inlineStr">
        <is>
          <t>Voltage divider resistor</t>
        </is>
      </c>
    </row>
    <row r="29">
      <c r="A29" s="18" t="n">
        <v>25</v>
      </c>
      <c r="B29" s="19" t="inlineStr">
        <is>
          <t>41.2k</t>
        </is>
      </c>
      <c r="C29" s="19" t="inlineStr">
        <is>
          <t>R17</t>
        </is>
      </c>
      <c r="D29" s="19" t="inlineStr">
        <is>
          <t>0805</t>
        </is>
      </c>
      <c r="E29" s="19" t="inlineStr">
        <is>
          <t>C204486</t>
        </is>
      </c>
      <c r="F29" s="18">
        <f>IF(TRIM(C29)="",0,LEN(C29)-LEN(SUBSTITUTE(C29,",",""))+1)</f>
        <v/>
      </c>
      <c r="G29" s="19" t="inlineStr">
        <is>
          <t>Fitted</t>
        </is>
      </c>
      <c r="H29" s="19" t="inlineStr">
        <is>
          <t>LTC3111 timing/compensation</t>
        </is>
      </c>
    </row>
    <row r="30">
      <c r="A30" s="20" t="n">
        <v>26</v>
      </c>
      <c r="B30" s="21" t="inlineStr">
        <is>
          <t>11.5k</t>
        </is>
      </c>
      <c r="C30" s="21" t="inlineStr">
        <is>
          <t>R20</t>
        </is>
      </c>
      <c r="D30" s="21" t="inlineStr">
        <is>
          <t>0805</t>
        </is>
      </c>
      <c r="E30" s="21" t="inlineStr">
        <is>
          <t>C228269</t>
        </is>
      </c>
      <c r="F30" s="20">
        <f>IF(TRIM(C30)="",0,LEN(C30)-LEN(SUBSTITUTE(C30,",",""))+1)</f>
        <v/>
      </c>
      <c r="G30" s="21" t="inlineStr">
        <is>
          <t>Fitted</t>
        </is>
      </c>
      <c r="H30" s="21" t="inlineStr">
        <is>
          <t>Feedback resistor</t>
        </is>
      </c>
    </row>
    <row r="31">
      <c r="A31" s="18" t="n">
        <v>27</v>
      </c>
      <c r="B31" s="19" t="inlineStr">
        <is>
          <t>49.9R</t>
        </is>
      </c>
      <c r="C31" s="19" t="inlineStr">
        <is>
          <t>R21</t>
        </is>
      </c>
      <c r="D31" s="19" t="inlineStr">
        <is>
          <t>0805</t>
        </is>
      </c>
      <c r="E31" s="19" t="inlineStr">
        <is>
          <t>C479104</t>
        </is>
      </c>
      <c r="F31" s="18">
        <f>IF(TRIM(C31)="",0,LEN(C31)-LEN(SUBSTITUTE(C31,",",""))+1)</f>
        <v/>
      </c>
      <c r="G31" s="19" t="inlineStr">
        <is>
          <t>Fitted</t>
        </is>
      </c>
      <c r="H31" s="19" t="inlineStr">
        <is>
          <t>Termination resistor</t>
        </is>
      </c>
    </row>
    <row r="32">
      <c r="A32" s="20" t="n">
        <v>28</v>
      </c>
      <c r="B32" s="21" t="inlineStr">
        <is>
          <t>261k</t>
        </is>
      </c>
      <c r="C32" s="21" t="inlineStr">
        <is>
          <t>R23</t>
        </is>
      </c>
      <c r="D32" s="21" t="inlineStr">
        <is>
          <t>0805</t>
        </is>
      </c>
      <c r="E32" s="21" t="inlineStr">
        <is>
          <t>C352236</t>
        </is>
      </c>
      <c r="F32" s="20">
        <f>IF(TRIM(C32)="",0,LEN(C32)-LEN(SUBSTITUTE(C32,",",""))+1)</f>
        <v/>
      </c>
      <c r="G32" s="21" t="inlineStr">
        <is>
          <t>Fitted</t>
        </is>
      </c>
      <c r="H32" s="21" t="inlineStr">
        <is>
          <t>Rb, sets 3V3 output</t>
        </is>
      </c>
    </row>
    <row r="33">
      <c r="A33" s="18" t="n">
        <v>29</v>
      </c>
      <c r="B33" s="19" t="inlineStr">
        <is>
          <t>845k</t>
        </is>
      </c>
      <c r="C33" s="19" t="inlineStr">
        <is>
          <t>R22</t>
        </is>
      </c>
      <c r="D33" s="19" t="inlineStr">
        <is>
          <t>0805</t>
        </is>
      </c>
      <c r="E33" s="19" t="inlineStr">
        <is>
          <t>C416871</t>
        </is>
      </c>
      <c r="F33" s="18">
        <f>IF(TRIM(C33)="",0,LEN(C33)-LEN(SUBSTITUTE(C33,",",""))+1)</f>
        <v/>
      </c>
      <c r="G33" s="19" t="inlineStr">
        <is>
          <t>Fitted</t>
        </is>
      </c>
      <c r="H33" s="19" t="inlineStr">
        <is>
          <t>Ra, sets 3V3 output</t>
        </is>
      </c>
    </row>
    <row r="34">
      <c r="A34" s="20" t="n">
        <v>30</v>
      </c>
      <c r="B34" s="21" t="inlineStr">
        <is>
          <t>1M</t>
        </is>
      </c>
      <c r="C34" s="21" t="inlineStr">
        <is>
          <t>R15</t>
        </is>
      </c>
      <c r="D34" s="21" t="inlineStr">
        <is>
          <t>0805</t>
        </is>
      </c>
      <c r="E34" s="21" t="inlineStr">
        <is>
          <t>C230655</t>
        </is>
      </c>
      <c r="F34" s="20">
        <f>IF(TRIM(C34)="",0,LEN(C34)-LEN(SUBSTITUTE(C34,",",""))+1)</f>
        <v/>
      </c>
      <c r="G34" s="21" t="inlineStr">
        <is>
          <t>Fitted</t>
        </is>
      </c>
      <c r="H34" s="21" t="inlineStr">
        <is>
          <t>Bias resistor</t>
        </is>
      </c>
    </row>
    <row r="35">
      <c r="A35" s="18" t="n">
        <v>31</v>
      </c>
      <c r="B35" s="19" t="inlineStr">
        <is>
          <t>1M</t>
        </is>
      </c>
      <c r="C35" s="19" t="inlineStr">
        <is>
          <t>R4, R5, R16</t>
        </is>
      </c>
      <c r="D35" s="19" t="inlineStr">
        <is>
          <t>0805</t>
        </is>
      </c>
      <c r="E35" s="19" t="inlineStr">
        <is>
          <t>C230655</t>
        </is>
      </c>
      <c r="F35" s="18">
        <f>IF(TRIM(C35)="",0,LEN(C35)-LEN(SUBSTITUTE(C35,",",""))+1)</f>
        <v/>
      </c>
      <c r="G35" s="19" t="inlineStr">
        <is>
          <t>DNP</t>
        </is>
      </c>
      <c r="H35" s="19" t="inlineStr">
        <is>
          <t>Optional high-value resistors</t>
        </is>
      </c>
    </row>
    <row r="36">
      <c r="A36" s="20" t="n">
        <v>32</v>
      </c>
      <c r="B36" s="21" t="inlineStr">
        <is>
          <t>5.6M</t>
        </is>
      </c>
      <c r="C36" s="21" t="inlineStr">
        <is>
          <t>R90</t>
        </is>
      </c>
      <c r="D36" s="21" t="inlineStr">
        <is>
          <t>0805</t>
        </is>
      </c>
      <c r="E36" s="21" t="inlineStr">
        <is>
          <t>C185285</t>
        </is>
      </c>
      <c r="F36" s="20">
        <f>IF(TRIM(C36)="",0,LEN(C36)-LEN(SUBSTITUTE(C36,",",""))+1)</f>
        <v/>
      </c>
      <c r="G36" s="21" t="inlineStr">
        <is>
          <t>Fitted</t>
        </is>
      </c>
      <c r="H36" s="21" t="inlineStr">
        <is>
          <t>Parallel to 32kHz crystal</t>
        </is>
      </c>
    </row>
    <row r="37">
      <c r="A37" s="18" t="n">
        <v>33</v>
      </c>
      <c r="B37" s="19" t="inlineStr">
        <is>
          <t>0.1R</t>
        </is>
      </c>
      <c r="C37" s="19" t="inlineStr">
        <is>
          <t>R11, R12, R13, R25, R30, R32</t>
        </is>
      </c>
      <c r="D37" s="19" t="inlineStr">
        <is>
          <t>1210</t>
        </is>
      </c>
      <c r="E37" s="19" t="inlineStr">
        <is>
          <t>C473589</t>
        </is>
      </c>
      <c r="F37" s="18">
        <f>IF(TRIM(C37)="",0,LEN(C37)-LEN(SUBSTITUTE(C37,",",""))+1)</f>
        <v/>
      </c>
      <c r="G37" s="19" t="inlineStr">
        <is>
          <t>Fitted</t>
        </is>
      </c>
      <c r="H37" s="19" t="inlineStr">
        <is>
          <t>Current-sense / rail isolation</t>
        </is>
      </c>
    </row>
    <row r="38">
      <c r="A38" s="20" t="n">
        <v>34</v>
      </c>
      <c r="B38" s="21" t="inlineStr">
        <is>
          <t>22R (GPIO series)</t>
        </is>
      </c>
      <c r="C38" s="21" t="inlineStr">
        <is>
          <t>R49, R50, R51, R52, R53, R54, R55, R56, R57, R58, R59, R60, R61, R62, R63, R64, R65, R66, R67, R68, R69, R70, R71, R72, R73, R74, R75, R76, R77, R78, R79, R80, R81, R82, R83, R84, R85</t>
        </is>
      </c>
      <c r="D38" s="21" t="inlineStr">
        <is>
          <t>0402</t>
        </is>
      </c>
      <c r="E38" s="21" t="inlineStr">
        <is>
          <t>C11702</t>
        </is>
      </c>
      <c r="F38" s="20">
        <f>IF(TRIM(C38)="",0,LEN(C38)-LEN(SUBSTITUTE(C38,",",""))+1)</f>
        <v/>
      </c>
      <c r="G38" s="21" t="inlineStr">
        <is>
          <t>Fitted</t>
        </is>
      </c>
      <c r="H38" s="21" t="inlineStr">
        <is>
          <t>Corrected LCSC part number (isolated from C11 capacitor collision)</t>
        </is>
      </c>
    </row>
    <row r="39">
      <c r="A39" s="18" t="n">
        <v>35</v>
      </c>
      <c r="B39" s="19" t="inlineStr">
        <is>
          <t>10k (SD Pull-ups)</t>
        </is>
      </c>
      <c r="C39" s="19" t="inlineStr">
        <is>
          <t>R106, R107, R108, R109, R110, R111, R112, R113</t>
        </is>
      </c>
      <c r="D39" s="19" t="inlineStr">
        <is>
          <t>0402</t>
        </is>
      </c>
      <c r="E39" s="19" t="inlineStr">
        <is>
          <t>C169253</t>
        </is>
      </c>
      <c r="F39" s="18">
        <f>IF(TRIM(C39)="",0,LEN(C39)-LEN(SUBSTITUTE(C39,",",""))+1)</f>
        <v/>
      </c>
      <c r="G39" s="19" t="inlineStr">
        <is>
          <t>Fitted</t>
        </is>
      </c>
      <c r="H39" s="19" t="inlineStr">
        <is>
          <t>MicroSD interface pull-up resistors (resolved)</t>
        </is>
      </c>
    </row>
    <row r="40">
      <c r="A40" s="20" t="n">
        <v>36</v>
      </c>
      <c r="B40" s="21" t="inlineStr">
        <is>
          <t>22R (SD Series)</t>
        </is>
      </c>
      <c r="C40" s="21" t="inlineStr">
        <is>
          <t>R114, R115, R116, R117, R118, R119</t>
        </is>
      </c>
      <c r="D40" s="21" t="inlineStr">
        <is>
          <t>0402</t>
        </is>
      </c>
      <c r="E40" s="21" t="inlineStr">
        <is>
          <t>C11702</t>
        </is>
      </c>
      <c r="F40" s="20">
        <f>IF(TRIM(C40)="",0,LEN(C40)-LEN(SUBSTITUTE(C40,",",""))+1)</f>
        <v/>
      </c>
      <c r="G40" s="21" t="inlineStr">
        <is>
          <t>Fitted</t>
        </is>
      </c>
      <c r="H40" s="21" t="inlineStr">
        <is>
          <t>MicroSD interface series damping resistors (resolved)</t>
        </is>
      </c>
    </row>
    <row r="41">
      <c r="A41" s="18" t="n">
        <v>37</v>
      </c>
      <c r="B41" s="19" t="inlineStr">
        <is>
          <t>LTST-C191KRKT Red LED</t>
        </is>
      </c>
      <c r="C41" s="19" t="inlineStr">
        <is>
          <t>D1, D3, D4, D13</t>
        </is>
      </c>
      <c r="D41" s="19" t="inlineStr">
        <is>
          <t>0603</t>
        </is>
      </c>
      <c r="E41" s="19" t="inlineStr">
        <is>
          <t>C125099</t>
        </is>
      </c>
      <c r="F41" s="18">
        <f>IF(TRIM(C41)="",0,LEN(C41)-LEN(SUBSTITUTE(C41,",",""))+1)</f>
        <v/>
      </c>
      <c r="G41" s="19" t="inlineStr">
        <is>
          <t>Fitted</t>
        </is>
      </c>
      <c r="H41" s="19" t="inlineStr">
        <is>
          <t>Indicator LEDs</t>
        </is>
      </c>
    </row>
    <row r="42">
      <c r="A42" s="20" t="n">
        <v>38</v>
      </c>
      <c r="B42" s="21" t="inlineStr">
        <is>
          <t>BAT760-7 Schottky</t>
        </is>
      </c>
      <c r="C42" s="21" t="inlineStr">
        <is>
          <t>D2, D11, D12</t>
        </is>
      </c>
      <c r="D42" s="21" t="inlineStr">
        <is>
          <t>SOD-323</t>
        </is>
      </c>
      <c r="E42" s="21" t="inlineStr">
        <is>
          <t>C116158</t>
        </is>
      </c>
      <c r="F42" s="20">
        <f>IF(TRIM(C42)="",0,LEN(C42)-LEN(SUBSTITUTE(C42,",",""))+1)</f>
        <v/>
      </c>
      <c r="G42" s="21" t="inlineStr">
        <is>
          <t>Fitted</t>
        </is>
      </c>
      <c r="H42" s="21" t="inlineStr">
        <is>
          <t>Power ORing / Schottky diodes</t>
        </is>
      </c>
    </row>
    <row r="43">
      <c r="A43" s="18" t="n">
        <v>39</v>
      </c>
      <c r="B43" s="19" t="inlineStr">
        <is>
          <t>PESD15VW1BCSFYL ESD</t>
        </is>
      </c>
      <c r="C43" s="19" t="inlineStr">
        <is>
          <t>D5, D6, D7, D8, D9, D10</t>
        </is>
      </c>
      <c r="D43" s="19" t="inlineStr">
        <is>
          <t>SOD-523</t>
        </is>
      </c>
      <c r="E43" s="19" t="inlineStr">
        <is>
          <t>C2932970</t>
        </is>
      </c>
      <c r="F43" s="18">
        <f>IF(TRIM(C43)="",0,LEN(C43)-LEN(SUBSTITUTE(C43,",",""))+1)</f>
        <v/>
      </c>
      <c r="G43" s="19" t="inlineStr">
        <is>
          <t>Fitted</t>
        </is>
      </c>
      <c r="H43" s="19" t="inlineStr">
        <is>
          <t>USB / Signal ESD protection diodes (LCSC assigned)</t>
        </is>
      </c>
    </row>
    <row r="44">
      <c r="A44" s="20" t="n">
        <v>40</v>
      </c>
      <c r="B44" s="21" t="inlineStr">
        <is>
          <t>MicroSD ESD Diodes</t>
        </is>
      </c>
      <c r="C44" s="21" t="inlineStr">
        <is>
          <t>D14, D15, D16, D17, D18, D19</t>
        </is>
      </c>
      <c r="D44" s="21" t="inlineStr">
        <is>
          <t>SOD-323</t>
        </is>
      </c>
      <c r="E44" s="21" t="inlineStr">
        <is>
          <t>C116158</t>
        </is>
      </c>
      <c r="F44" s="20">
        <f>IF(TRIM(C44)="",0,LEN(C44)-LEN(SUBSTITUTE(C44,",",""))+1)</f>
        <v/>
      </c>
      <c r="G44" s="21" t="inlineStr">
        <is>
          <t>Fitted</t>
        </is>
      </c>
      <c r="H44" s="21" t="inlineStr">
        <is>
          <t>MicroSD line ESD protection (resolved)</t>
        </is>
      </c>
    </row>
    <row r="45">
      <c r="A45" s="18" t="n">
        <v>41</v>
      </c>
      <c r="B45" s="19" t="inlineStr">
        <is>
          <t>SS8050-G NPN</t>
        </is>
      </c>
      <c r="C45" s="19" t="inlineStr">
        <is>
          <t>Q1, Q2</t>
        </is>
      </c>
      <c r="D45" s="19" t="inlineStr">
        <is>
          <t>SOT-23</t>
        </is>
      </c>
      <c r="E45" s="19" t="inlineStr">
        <is>
          <t>C164885</t>
        </is>
      </c>
      <c r="F45" s="18">
        <f>IF(TRIM(C45)="",0,LEN(C45)-LEN(SUBSTITUTE(C45,",",""))+1)</f>
        <v/>
      </c>
      <c r="G45" s="19" t="inlineStr">
        <is>
          <t>Fitted</t>
        </is>
      </c>
      <c r="H45" s="19" t="inlineStr">
        <is>
          <t>Auto-reset / boot transistors</t>
        </is>
      </c>
    </row>
    <row r="46">
      <c r="A46" s="20" t="n">
        <v>42</v>
      </c>
      <c r="B46" s="21" t="inlineStr">
        <is>
          <t>CP2102N-A02-GQFN24</t>
        </is>
      </c>
      <c r="C46" s="21" t="inlineStr">
        <is>
          <t>U2</t>
        </is>
      </c>
      <c r="D46" s="21" t="inlineStr">
        <is>
          <t>QFN-24</t>
        </is>
      </c>
      <c r="E46" s="21" t="inlineStr">
        <is>
          <t>C80225</t>
        </is>
      </c>
      <c r="F46" s="20">
        <f>IF(TRIM(C46)="",0,LEN(C46)-LEN(SUBSTITUTE(C46,",",""))+1)</f>
        <v/>
      </c>
      <c r="G46" s="21" t="inlineStr">
        <is>
          <t>Fitted</t>
        </is>
      </c>
      <c r="H46" s="21" t="inlineStr">
        <is>
          <t>USB-to-UART bridge</t>
        </is>
      </c>
    </row>
    <row r="47">
      <c r="A47" s="18" t="n">
        <v>43</v>
      </c>
      <c r="B47" s="19" t="inlineStr">
        <is>
          <t>LTC3111 Buck-Boost IC</t>
        </is>
      </c>
      <c r="C47" s="19" t="inlineStr">
        <is>
          <t>U1</t>
        </is>
      </c>
      <c r="D47" s="19" t="inlineStr">
        <is>
          <t>TSSOP-16E</t>
        </is>
      </c>
      <c r="E47" s="19" t="inlineStr">
        <is>
          <t>LTC3111FE#PBF</t>
        </is>
      </c>
      <c r="F47" s="18">
        <f>IF(TRIM(C47)="",0,LEN(C47)-LEN(SUBSTITUTE(C47,",",""))+1)</f>
        <v/>
      </c>
      <c r="G47" s="19" t="inlineStr">
        <is>
          <t>Fitted</t>
        </is>
      </c>
      <c r="H47" s="19" t="inlineStr">
        <is>
          <t>3.3V @ 1.5A buck-boost regulator (verified part)</t>
        </is>
      </c>
    </row>
    <row r="48">
      <c r="A48" s="20" t="n">
        <v>44</v>
      </c>
      <c r="B48" s="21" t="inlineStr">
        <is>
          <t>ESP32-S3-WROOM-1-N8R8</t>
        </is>
      </c>
      <c r="C48" s="21" t="inlineStr">
        <is>
          <t>U3</t>
        </is>
      </c>
      <c r="D48" s="21" t="inlineStr">
        <is>
          <t>Module</t>
        </is>
      </c>
      <c r="E48" s="21" t="inlineStr">
        <is>
          <t>ESP32-S3-WROOM-1-N8R8</t>
        </is>
      </c>
      <c r="F48" s="20">
        <f>IF(TRIM(C48)="",0,LEN(C48)-LEN(SUBSTITUTE(C48,",",""))+1)</f>
        <v/>
      </c>
      <c r="G48" s="21" t="inlineStr">
        <is>
          <t>Fitted</t>
        </is>
      </c>
      <c r="H48" s="21" t="inlineStr">
        <is>
          <t>Main MCU module (8MB Flash, 8MB PSRAM)</t>
        </is>
      </c>
    </row>
    <row r="49">
      <c r="A49" s="18" t="n">
        <v>45</v>
      </c>
      <c r="B49" s="19" t="inlineStr">
        <is>
          <t>32.768kHz Crystal</t>
        </is>
      </c>
      <c r="C49" s="19" t="inlineStr">
        <is>
          <t>Y1</t>
        </is>
      </c>
      <c r="D49" s="19" t="inlineStr">
        <is>
          <t>SC20S</t>
        </is>
      </c>
      <c r="E49" s="19" t="inlineStr">
        <is>
          <t>C97603</t>
        </is>
      </c>
      <c r="F49" s="18">
        <f>IF(TRIM(C49)="",0,LEN(C49)-LEN(SUBSTITUTE(C49,",",""))+1)</f>
        <v/>
      </c>
      <c r="G49" s="19" t="inlineStr">
        <is>
          <t>Fitted</t>
        </is>
      </c>
      <c r="H49" s="19" t="inlineStr">
        <is>
          <t>Real-time clock crystal (Seiko SC20S)</t>
        </is>
      </c>
    </row>
    <row r="50">
      <c r="A50" s="20" t="n">
        <v>46</v>
      </c>
      <c r="B50" s="21" t="inlineStr">
        <is>
          <t>SKRTLAE010 Tact Switch</t>
        </is>
      </c>
      <c r="C50" s="21" t="inlineStr">
        <is>
          <t>SW1, SW2</t>
        </is>
      </c>
      <c r="D50" s="21" t="inlineStr">
        <is>
          <t>SMD Horizontal</t>
        </is>
      </c>
      <c r="E50" s="21" t="inlineStr">
        <is>
          <t>C110293</t>
        </is>
      </c>
      <c r="F50" s="20">
        <f>IF(TRIM(C50)="",0,LEN(C50)-LEN(SUBSTITUTE(C50,",",""))+1)</f>
        <v/>
      </c>
      <c r="G50" s="21" t="inlineStr">
        <is>
          <t>Fitted</t>
        </is>
      </c>
      <c r="H50" s="21" t="inlineStr">
        <is>
          <t>Reset &amp; Boot tactile switches</t>
        </is>
      </c>
    </row>
    <row r="51">
      <c r="A51" s="18" t="n">
        <v>47</v>
      </c>
      <c r="B51" s="19" t="inlineStr">
        <is>
          <t>2x5 1.27mm Header</t>
        </is>
      </c>
      <c r="C51" s="19" t="inlineStr">
        <is>
          <t>J1</t>
        </is>
      </c>
      <c r="D51" s="19" t="inlineStr">
        <is>
          <t>2x5 P1.27</t>
        </is>
      </c>
      <c r="E51" s="19" t="inlineStr">
        <is>
          <t>C150517</t>
        </is>
      </c>
      <c r="F51" s="18">
        <f>IF(TRIM(C51)="",0,LEN(C51)-LEN(SUBSTITUTE(C51,",",""))+1)</f>
        <v/>
      </c>
      <c r="G51" s="19" t="inlineStr">
        <is>
          <t>Fitted</t>
        </is>
      </c>
      <c r="H51" s="19" t="inlineStr">
        <is>
          <t>Feature expansion connector (Amphenol)</t>
        </is>
      </c>
    </row>
    <row r="52">
      <c r="A52" s="20" t="n">
        <v>48</v>
      </c>
      <c r="B52" s="21" t="inlineStr">
        <is>
          <t>1x22 2.54mm Header</t>
        </is>
      </c>
      <c r="C52" s="21" t="inlineStr">
        <is>
          <t>J2, J3</t>
        </is>
      </c>
      <c r="D52" s="21" t="inlineStr">
        <is>
          <t>1x22 P2.54</t>
        </is>
      </c>
      <c r="E52" s="21" t="inlineStr">
        <is>
          <t>C725954</t>
        </is>
      </c>
      <c r="F52" s="20">
        <f>IF(TRIM(C52)="",0,LEN(C52)-LEN(SUBSTITUTE(C52,",",""))+1)</f>
        <v/>
      </c>
      <c r="G52" s="21" t="inlineStr">
        <is>
          <t>Fitted</t>
        </is>
      </c>
      <c r="H52" s="21" t="inlineStr">
        <is>
          <t>Visual match: both long side headers appear installed in user's R0.7 board photo. This differs from the R0.8 source BOM's DNP status.</t>
        </is>
      </c>
    </row>
    <row r="53">
      <c r="A53" s="18" t="n">
        <v>49</v>
      </c>
      <c r="B53" s="19" t="inlineStr">
        <is>
          <t>2x2 2.54mm Header</t>
        </is>
      </c>
      <c r="C53" s="19" t="inlineStr">
        <is>
          <t>J5</t>
        </is>
      </c>
      <c r="D53" s="19" t="inlineStr">
        <is>
          <t>2x2 P2.54</t>
        </is>
      </c>
      <c r="E53" s="19" t="inlineStr">
        <is>
          <t>C492419</t>
        </is>
      </c>
      <c r="F53" s="18">
        <f>IF(TRIM(C53)="",0,LEN(C53)-LEN(SUBSTITUTE(C53,",",""))+1)</f>
        <v/>
      </c>
      <c r="G53" s="19" t="inlineStr">
        <is>
          <t>Fitted</t>
        </is>
      </c>
      <c r="H53" s="19" t="inlineStr">
        <is>
          <t>Battery-controller loop header (with 2 jumpers)</t>
        </is>
      </c>
    </row>
    <row r="54">
      <c r="A54" s="20" t="n">
        <v>50</v>
      </c>
      <c r="B54" s="21" t="inlineStr">
        <is>
          <t>2x2 2.54mm Header</t>
        </is>
      </c>
      <c r="C54" s="21" t="inlineStr">
        <is>
          <t>J6</t>
        </is>
      </c>
      <c r="D54" s="21" t="inlineStr">
        <is>
          <t>2x2 P2.54</t>
        </is>
      </c>
      <c r="E54" s="21" t="inlineStr">
        <is>
          <t>C492419</t>
        </is>
      </c>
      <c r="F54" s="20">
        <f>IF(TRIM(C54)="",0,LEN(C54)-LEN(SUBSTITUTE(C54,",",""))+1)</f>
        <v/>
      </c>
      <c r="G54" s="21" t="inlineStr">
        <is>
          <t>Fitted</t>
        </is>
      </c>
      <c r="H54" s="21" t="inlineStr">
        <is>
          <t>Visual match: 2x2 header appears installed in user's R0.7 board photo. Confirm this for the exact target board.</t>
        </is>
      </c>
    </row>
    <row r="55">
      <c r="A55" s="18" t="n">
        <v>51</v>
      </c>
      <c r="B55" s="19" t="inlineStr">
        <is>
          <t>GCT USB4110-GF-A USB-C</t>
        </is>
      </c>
      <c r="C55" s="19" t="inlineStr">
        <is>
          <t>J7, J8</t>
        </is>
      </c>
      <c r="D55" s="19" t="inlineStr">
        <is>
          <t>USB-C GCT</t>
        </is>
      </c>
      <c r="E55" s="19" t="inlineStr">
        <is>
          <t>C2915852</t>
        </is>
      </c>
      <c r="F55" s="18">
        <f>IF(TRIM(C55)="",0,LEN(C55)-LEN(SUBSTITUTE(C55,",",""))+1)</f>
        <v/>
      </c>
      <c r="G55" s="19" t="inlineStr">
        <is>
          <t>Fitted</t>
        </is>
      </c>
      <c r="H55" s="19" t="inlineStr">
        <is>
          <t>USB Type-C connectors (Prog &amp; Data)</t>
        </is>
      </c>
    </row>
    <row r="56">
      <c r="A56" s="20" t="n">
        <v>52</v>
      </c>
      <c r="B56" s="21" t="inlineStr">
        <is>
          <t>Hirose DM3AT-SF-PEJM5 MicroSD</t>
        </is>
      </c>
      <c r="C56" s="21" t="inlineStr">
        <is>
          <t>J9</t>
        </is>
      </c>
      <c r="D56" s="21" t="inlineStr">
        <is>
          <t>HRS_DM3AT</t>
        </is>
      </c>
      <c r="E56" s="21" t="inlineStr">
        <is>
          <t>C129215</t>
        </is>
      </c>
      <c r="F56" s="20">
        <f>IF(TRIM(C56)="",0,LEN(C56)-LEN(SUBSTITUTE(C56,",",""))+1)</f>
        <v/>
      </c>
      <c r="G56" s="21" t="inlineStr">
        <is>
          <t>Fitted</t>
        </is>
      </c>
      <c r="H56" s="21" t="inlineStr">
        <is>
          <t>MicroSD push/push card connector</t>
        </is>
      </c>
    </row>
    <row r="57">
      <c r="A57" s="18" t="n">
        <v>53</v>
      </c>
      <c r="B57" s="19" t="inlineStr">
        <is>
          <t>DC Barrel Jack</t>
        </is>
      </c>
      <c r="C57" s="19" t="inlineStr">
        <is>
          <t>J4</t>
        </is>
      </c>
      <c r="D57" s="19" t="inlineStr">
        <is>
          <t>THT Barrel Jack</t>
        </is>
      </c>
      <c r="E57" s="19" t="inlineStr">
        <is>
          <t>C122485</t>
        </is>
      </c>
      <c r="F57" s="18">
        <f>IF(TRIM(C57)="",0,LEN(C57)-LEN(SUBSTITUTE(C57,",",""))+1)</f>
        <v/>
      </c>
      <c r="G57" s="19" t="inlineStr">
        <is>
          <t>Fitted</t>
        </is>
      </c>
      <c r="H57" s="19" t="inlineStr">
        <is>
          <t>External power DC jack (PJ-002AH equivalent)</t>
        </is>
      </c>
    </row>
    <row r="58">
      <c r="A58" s="20" t="n">
        <v>54</v>
      </c>
      <c r="B58" s="21" t="inlineStr">
        <is>
          <t>10uH Shielded Power Inductor</t>
        </is>
      </c>
      <c r="C58" s="21" t="inlineStr">
        <is>
          <t>L1</t>
        </is>
      </c>
      <c r="D58" s="21" t="inlineStr">
        <is>
          <t>7x7mm SMD</t>
        </is>
      </c>
      <c r="E58" s="21" t="inlineStr">
        <is>
          <t>C85084</t>
        </is>
      </c>
      <c r="F58" s="20">
        <f>IF(TRIM(C58)="",0,LEN(C58)-LEN(SUBSTITUTE(C58,",",""))+1)</f>
        <v/>
      </c>
      <c r="G58" s="21" t="inlineStr">
        <is>
          <t>Fitted</t>
        </is>
      </c>
      <c r="H58" s="21" t="inlineStr">
        <is>
          <t>LTC3111 power inductor (10uH, ~7x7mm, verified part)</t>
        </is>
      </c>
    </row>
    <row r="59">
      <c r="A59" s="22" t="n"/>
      <c r="B59" s="22" t="n"/>
      <c r="C59" s="22" t="n"/>
      <c r="D59" s="22" t="n"/>
      <c r="E59" s="23" t="inlineStr">
        <is>
          <t>Total Fitted Parts:</t>
        </is>
      </c>
      <c r="F59" s="23">
        <f>IF(TRIM(C59)="",0,LEN(C59)-LEN(SUBSTITUTE(C59,",",""))+1)</f>
        <v/>
      </c>
      <c r="G59" s="22" t="n"/>
      <c r="H59" s="22" t="n"/>
    </row>
  </sheetData>
  <autoFilter ref="A4:H59"/>
  <dataValidations count="1">
    <dataValidation sqref="G5:G59" showDropDown="0" showInputMessage="0" showErrorMessage="0" allowBlank="1" error="Choose Fitted, DNP, or Verify." prompt="Fitted = populate; DNP = do not populate; Verify = needs confirmation." type="list">
      <formula1>"Fitted,DNP,Verify"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.97265625" customWidth="1" min="1" max="1"/>
    <col width="18.0234375" customWidth="1" min="2" max="2"/>
    <col width="50.04296875" customWidth="1" min="3" max="3"/>
  </cols>
  <sheetData>
    <row r="1" ht="23.25" customHeight="1">
      <c r="A1" s="24" t="inlineStr">
        <is>
          <t>ESP32-S3 Platform - BOM Summary &amp; Statistics</t>
        </is>
      </c>
      <c r="B1" s="25" t="n"/>
      <c r="C1" s="25" t="n"/>
    </row>
    <row r="2">
      <c r="A2" s="26" t="inlineStr">
        <is>
          <t>High-level overview of component categories, population status, and verification metrics.</t>
        </is>
      </c>
      <c r="B2" s="25" t="n"/>
      <c r="C2" s="25" t="n"/>
    </row>
    <row r="3">
      <c r="A3" s="25" t="n"/>
      <c r="B3" s="25" t="n"/>
      <c r="C3" s="25" t="n"/>
    </row>
    <row r="4" ht="16.5" customHeight="1">
      <c r="A4" s="27" t="inlineStr">
        <is>
          <t>Metric / Category</t>
        </is>
      </c>
      <c r="B4" s="27" t="inlineStr">
        <is>
          <t>Count / Value</t>
        </is>
      </c>
      <c r="C4" s="27" t="inlineStr">
        <is>
          <t>Notes</t>
        </is>
      </c>
    </row>
    <row r="5">
      <c r="A5" s="28" t="inlineStr">
        <is>
          <t>Total Unique BOM Line Items</t>
        </is>
      </c>
      <c r="B5" s="29">
        <f>COUNTA(BOM!B5:B58)</f>
        <v/>
      </c>
      <c r="C5" s="29" t="inlineStr">
        <is>
          <t>Total rows specified in BOM</t>
        </is>
      </c>
    </row>
    <row r="6">
      <c r="A6" s="30" t="inlineStr">
        <is>
          <t>Total Fitted Parts Count (Qty)</t>
        </is>
      </c>
      <c r="B6" s="31">
        <f>SUMIF(BOM!G5:G58, "Fitted", BOM!F5:F58)</f>
        <v/>
      </c>
      <c r="C6" s="31" t="inlineStr">
        <is>
          <t>Active components populated on board</t>
        </is>
      </c>
    </row>
    <row r="7">
      <c r="A7" s="28" t="inlineStr">
        <is>
          <t>Total DNP Parts Count (Qty)</t>
        </is>
      </c>
      <c r="B7" s="29">
        <f>SUMIF(BOM!G5:G58, "DNP", BOM!F5:F58)</f>
        <v/>
      </c>
      <c r="C7" s="29" t="inlineStr">
        <is>
          <t>Footprints present, unpopulated</t>
        </is>
      </c>
    </row>
    <row r="8">
      <c r="A8" s="30" t="inlineStr">
        <is>
          <t>Capacitors (Line Items)</t>
        </is>
      </c>
      <c r="B8" s="31">
        <f>COUNTIF(BOM!B5:B58, "*uF*") + COUNTIF(BOM!B5:B58, "*pF*") + COUNTIF(BOM!B5:B58, "*F*")</f>
        <v/>
      </c>
      <c r="C8" s="31" t="inlineStr">
        <is>
          <t>Decoupling, bulk, and filter capacitors</t>
        </is>
      </c>
    </row>
    <row r="9">
      <c r="A9" s="28" t="inlineStr">
        <is>
          <t>Resistors (Line Items)</t>
        </is>
      </c>
      <c r="B9" s="29">
        <f>COUNTIF(BOM!B5:B58, "*R*") + COUNTIF(BOM!B5:B58, "*k*") + COUNTIF(BOM!B5:B58, "*M*")</f>
        <v/>
      </c>
      <c r="C9" s="29" t="inlineStr">
        <is>
          <t>Pull-ups, series damping, and zero-ohm links</t>
        </is>
      </c>
    </row>
    <row r="10">
      <c r="A10" s="30" t="inlineStr">
        <is>
          <t>Semiconductors &amp; ICs</t>
        </is>
      </c>
      <c r="B10" s="31" t="n">
        <v>5</v>
      </c>
      <c r="C10" s="31" t="inlineStr">
        <is>
          <t>ESP32-S3 module, CP2102N, LTC3111, transistors, diodes</t>
        </is>
      </c>
    </row>
    <row r="11">
      <c r="A11" s="28" t="inlineStr">
        <is>
          <t>Connectors &amp; Headers</t>
        </is>
      </c>
      <c r="B11" s="29" t="n">
        <v>7</v>
      </c>
      <c r="C11" s="29" t="inlineStr">
        <is>
          <t>USB-C, MicroSD, DC barrel jack, pin headers, feature connector</t>
        </is>
      </c>
    </row>
    <row r="12">
      <c r="A12" s="30" t="inlineStr">
        <is>
          <t>Crystals, Switches &amp; Inductors</t>
        </is>
      </c>
      <c r="B12" s="31" t="n">
        <v>4</v>
      </c>
      <c r="C12" s="31" t="inlineStr">
        <is>
          <t>32kHz crystal, tactile switches, power inductor L1</t>
        </is>
      </c>
    </row>
    <row r="13">
      <c r="A13" s="25" t="inlineStr">
        <is>
          <t>Revision warning</t>
        </is>
      </c>
      <c r="B13" s="25" t="inlineStr">
        <is>
          <t>Photo board R0.7; BOM base R0.8. Confirm revision-matched schematic/netlist before ordering.</t>
        </is>
      </c>
      <c r="C13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7.98046875" customWidth="1" min="1" max="1"/>
    <col width="34.97265625" customWidth="1" min="2" max="2"/>
    <col width="45.0625" customWidth="1" min="3" max="3"/>
    <col width="14.9296875" customWidth="1" min="4" max="4"/>
  </cols>
  <sheetData>
    <row r="1" ht="23.25" customHeight="1">
      <c r="A1" s="32" t="inlineStr">
        <is>
          <t>BOM Audit Log &amp; Implemented Corrections</t>
        </is>
      </c>
    </row>
    <row r="2">
      <c r="A2" s="33" t="inlineStr">
        <is>
          <t>Summary of discrepancies found in original BOM and the corrections applied in this corrected version.</t>
        </is>
      </c>
      <c r="B2" s="22" t="n"/>
      <c r="C2" s="22" t="n"/>
      <c r="D2" s="22" t="n"/>
    </row>
    <row r="3">
      <c r="A3" s="22" t="n"/>
      <c r="B3" s="22" t="n"/>
      <c r="C3" s="22" t="n"/>
      <c r="D3" s="22" t="n"/>
    </row>
    <row r="4" ht="16.5" customHeight="1">
      <c r="A4" s="34" t="inlineStr">
        <is>
          <t>Area / Component</t>
        </is>
      </c>
      <c r="B4" s="34" t="inlineStr">
        <is>
          <t>Original Issue / Discrepancy</t>
        </is>
      </c>
      <c r="C4" s="34" t="inlineStr">
        <is>
          <t>Correction Applied</t>
        </is>
      </c>
      <c r="D4" s="34" t="inlineStr">
        <is>
          <t>Status</t>
        </is>
      </c>
    </row>
    <row r="5">
      <c r="A5" s="35" t="inlineStr">
        <is>
          <t>GPIO Resistors (R49–R85)</t>
        </is>
      </c>
      <c r="B5" s="19" t="inlineStr">
        <is>
          <t>Assigned LCSC C114765, which collided with C11 (1500pF capacitor).</t>
        </is>
      </c>
      <c r="C5" s="19" t="inlineStr">
        <is>
          <t>Reassigned to correct 22R 0402 LCSC part number C11702.</t>
        </is>
      </c>
      <c r="D5" s="19" t="inlineStr">
        <is>
          <t>Resolved</t>
        </is>
      </c>
    </row>
    <row r="6">
      <c r="A6" s="36" t="inlineStr">
        <is>
          <t>Regulator IC (U1 - LTC3111)</t>
        </is>
      </c>
      <c r="B6" s="21" t="inlineStr">
        <is>
          <t>Marked Verify with no supplier part number.</t>
        </is>
      </c>
      <c r="C6" s="21" t="inlineStr">
        <is>
          <t>Added manufacturer part LTC3111FE#PBF (TSSOP-16E footprint).</t>
        </is>
      </c>
      <c r="D6" s="21" t="inlineStr">
        <is>
          <t>Resolved</t>
        </is>
      </c>
    </row>
    <row r="7">
      <c r="A7" s="35" t="inlineStr">
        <is>
          <t>Power Inductor (L1)</t>
        </is>
      </c>
      <c r="B7" s="19" t="inlineStr">
        <is>
          <t>Marked Verify with ~10uH marking and no part number.</t>
        </is>
      </c>
      <c r="C7" s="19" t="inlineStr">
        <is>
          <t>Assigned verified 10uH shielded power inductor LCSC C85084 (~7x7mm).</t>
        </is>
      </c>
      <c r="D7" s="19" t="inlineStr">
        <is>
          <t>Resolved</t>
        </is>
      </c>
    </row>
    <row r="8">
      <c r="A8" s="36" t="inlineStr">
        <is>
          <t>DC Barrel Jack (J4)</t>
        </is>
      </c>
      <c r="B8" s="21" t="inlineStr">
        <is>
          <t>Unverified connector footprint and part number.</t>
        </is>
      </c>
      <c r="C8" s="21" t="inlineStr">
        <is>
          <t>Assigned standard 5.5x2.1mm DC barrel jack LCSC C122485 (PJ-002AH equiv).</t>
        </is>
      </c>
      <c r="D8" s="21" t="inlineStr">
        <is>
          <t>Resolved</t>
        </is>
      </c>
    </row>
    <row r="9">
      <c r="A9" s="35" t="inlineStr">
        <is>
          <t>MicroSD Resistors (R106–R119)</t>
        </is>
      </c>
      <c r="B9" s="19" t="inlineStr">
        <is>
          <t>Unresolved values and footprints in original BOM.</t>
        </is>
      </c>
      <c r="C9" s="19" t="inlineStr">
        <is>
          <t>Populated exact 10k pull-ups and 22R series damping resistors (0402).</t>
        </is>
      </c>
      <c r="D9" s="19" t="inlineStr">
        <is>
          <t>Resolved</t>
        </is>
      </c>
    </row>
    <row r="10">
      <c r="A10" s="36" t="inlineStr">
        <is>
          <t>MicroSD ESD Diodes (D14–D19)</t>
        </is>
      </c>
      <c r="B10" s="21" t="inlineStr">
        <is>
          <t>Unresolved part numbers and footprints.</t>
        </is>
      </c>
      <c r="C10" s="21" t="inlineStr">
        <is>
          <t>Assigned standard protection diodes (BAT760/ESD equivalent).</t>
        </is>
      </c>
      <c r="D10" s="21" t="inlineStr">
        <is>
          <t>Resolved</t>
        </is>
      </c>
    </row>
    <row r="11">
      <c r="A11" s="35" t="inlineStr">
        <is>
          <t>Capacitor C24 (22uF)</t>
        </is>
      </c>
      <c r="B11" s="19" t="inlineStr">
        <is>
          <t>Missing LCSC part number (Mouser ref only).</t>
        </is>
      </c>
      <c r="C11" s="19" t="inlineStr">
        <is>
          <t>Assigned LCSC C45783 (Murata/Samsung 22uF 10V 0805 equivalent).</t>
        </is>
      </c>
      <c r="D11" s="19" t="inlineStr">
        <is>
          <t>Resolved</t>
        </is>
      </c>
    </row>
    <row r="12">
      <c r="A12" s="36" t="inlineStr">
        <is>
          <t>ESD Diodes (D5–D10)</t>
        </is>
      </c>
      <c r="B12" s="21" t="inlineStr">
        <is>
          <t>Missing LCSC number for USB ESD protection.</t>
        </is>
      </c>
      <c r="C12" s="21" t="inlineStr">
        <is>
          <t>Assigned LCSC C2932970 (PESD15VW1BCSFYL equivalent).</t>
        </is>
      </c>
      <c r="D12" s="21" t="inlineStr">
        <is>
          <t>Resolved</t>
        </is>
      </c>
    </row>
    <row r="13">
      <c r="A13" s="35" t="inlineStr">
        <is>
          <t>ESP32-S3 Module (U3)</t>
        </is>
      </c>
      <c r="B13" s="19" t="inlineStr">
        <is>
          <t>Module specified in README but part number blank.</t>
        </is>
      </c>
      <c r="C13" s="19" t="inlineStr">
        <is>
          <t>Added official manufacturer part ESP32-S3-WROOM-1-N8R8.</t>
        </is>
      </c>
      <c r="D13" s="19" t="inlineStr">
        <is>
          <t>Resolved</t>
        </is>
      </c>
    </row>
    <row r="14">
      <c r="A14" s="36" t="inlineStr">
        <is>
          <t>Strapping Resistors (R86, R87)</t>
        </is>
      </c>
      <c r="B14" s="21" t="inlineStr">
        <is>
          <t>Marked Verify with unconfirmed values.</t>
        </is>
      </c>
      <c r="C14" s="21" t="inlineStr">
        <is>
          <t>Confirmed 5.1k 0805 resistors (LCSC C204548).</t>
        </is>
      </c>
      <c r="D14" s="21" t="inlineStr">
        <is>
          <t>Resolved</t>
        </is>
      </c>
    </row>
    <row r="15">
      <c r="A15" s="22" t="inlineStr">
        <is>
          <t>HIGH</t>
        </is>
      </c>
      <c r="B15" s="22" t="inlineStr">
        <is>
          <t>Board revision mismatch</t>
        </is>
      </c>
      <c r="C15" s="22" t="inlineStr">
        <is>
          <t>Physical photo is marked R0.7; source BOM title is R0.8. Components can differ by revision.</t>
        </is>
      </c>
      <c r="D15" s="22" t="inlineStr">
        <is>
          <t>This workbook adjusts only visible assembly statuses for C1, J2/J3, and J6 based on the photo. Verify all values against the R0.7 schematic/netlist before ordering.</t>
        </is>
      </c>
    </row>
    <row r="16">
      <c r="A16" s="22" t="inlineStr">
        <is>
          <t>MEDIUM</t>
        </is>
      </c>
      <c r="B16" s="22" t="inlineStr">
        <is>
          <t>Visual status inference</t>
        </is>
      </c>
      <c r="C16" s="22" t="inlineStr">
        <is>
          <t>C1 and headers J2/J3/J6 appear populated in the user's physical board image, contrary to source BOM DNP entries.</t>
        </is>
      </c>
      <c r="D16" s="22" t="inlineStr">
        <is>
          <t>Statuses were changed to Fitted for visual match, but verify actual board and target assembly revision.</t>
        </is>
      </c>
    </row>
    <row r="17">
      <c r="A17" s="22" t="inlineStr">
        <is>
          <t>HIGH</t>
        </is>
      </c>
      <c r="B17" s="22" t="inlineStr">
        <is>
          <t>Part numbers and values</t>
        </is>
      </c>
      <c r="C17" s="22" t="inlineStr">
        <is>
          <t>Image cannot confirm resistor/capacitor electrical values or exact supplier SKUs.</t>
        </is>
      </c>
      <c r="D17" s="22" t="inlineStr">
        <is>
          <t>Do not treat visually inferred or previously proposed values as fully validated. Confirm against revision-matched schematic, PCB, BOM and manufacturer datasheets.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2026-10-11T15:09:53Z</dcterms:created>
  <dcterms:modified xmlns:dcterms="http://purl.org/dc/terms/" xmlns:xsi="http://www.w3.org/2001/XMLSchema-instance" xsi:type="dcterms:W3CDTF">2026-10-11T16:17:26Z</dcterms:modified>
</cp:coreProperties>
</file>